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retionDilution model\"/>
    </mc:Choice>
  </mc:AlternateContent>
  <xr:revisionPtr revIDLastSave="0" documentId="13_ncr:1_{DC4ECB20-92FD-43B5-BB72-ABDA18909C02}" xr6:coauthVersionLast="47" xr6:coauthVersionMax="47" xr10:uidLastSave="{00000000-0000-0000-0000-000000000000}"/>
  <bookViews>
    <workbookView xWindow="-110" yWindow="-110" windowWidth="19420" windowHeight="10300" xr2:uid="{86C7C0F8-CB16-40D5-87BD-89C497CDBEEB}"/>
  </bookViews>
  <sheets>
    <sheet name="A-D MODEL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B33" i="1"/>
  <c r="B10" i="1"/>
  <c r="D51" i="1"/>
  <c r="D48" i="1"/>
  <c r="C38" i="1"/>
  <c r="B38" i="1"/>
  <c r="B7" i="1"/>
  <c r="D46" i="1"/>
  <c r="D45" i="1"/>
  <c r="D44" i="1"/>
  <c r="D43" i="1"/>
  <c r="D42" i="1"/>
  <c r="D39" i="1"/>
  <c r="D41" i="1" s="1"/>
  <c r="C39" i="1"/>
  <c r="B39" i="1"/>
  <c r="D54" i="1"/>
  <c r="B31" i="1"/>
  <c r="B30" i="1"/>
  <c r="D47" i="1"/>
  <c r="D38" i="1"/>
  <c r="F31" i="1"/>
  <c r="B22" i="1" s="1"/>
  <c r="F32" i="1"/>
  <c r="B16" i="1"/>
  <c r="B15" i="1"/>
  <c r="B17" i="1" s="1"/>
  <c r="F17" i="1"/>
  <c r="F16" i="1"/>
  <c r="F15" i="1"/>
  <c r="F22" i="1"/>
  <c r="F21" i="1"/>
  <c r="F23" i="1" s="1"/>
  <c r="F24" i="1" s="1"/>
  <c r="F20" i="1"/>
  <c r="F8" i="1"/>
  <c r="F10" i="1"/>
  <c r="F9" i="1" s="1"/>
  <c r="F7" i="1"/>
  <c r="F6" i="1"/>
  <c r="F11" i="1" s="1"/>
  <c r="F12" i="1" s="1"/>
  <c r="B8" i="1"/>
  <c r="B6" i="1"/>
  <c r="D50" i="1" l="1"/>
  <c r="F30" i="1"/>
  <c r="D53" i="1" l="1"/>
  <c r="D56" i="1" s="1"/>
  <c r="D55" i="1"/>
  <c r="F33" i="1"/>
  <c r="G31" i="1" l="1"/>
  <c r="G33" i="1"/>
  <c r="G32" i="1"/>
  <c r="C33" i="1"/>
  <c r="C31" i="1"/>
  <c r="G30" i="1"/>
  <c r="C32" i="1"/>
  <c r="C30" i="1"/>
</calcChain>
</file>

<file path=xl/sharedStrings.xml><?xml version="1.0" encoding="utf-8"?>
<sst xmlns="http://schemas.openxmlformats.org/spreadsheetml/2006/main" count="69" uniqueCount="64">
  <si>
    <t>ACCRETION/ DILUTION MODEL</t>
  </si>
  <si>
    <t>Assumptions</t>
  </si>
  <si>
    <t>Share Price</t>
  </si>
  <si>
    <t>%offer premium</t>
  </si>
  <si>
    <t>CONSIDERATIONS</t>
  </si>
  <si>
    <t>FINANCIALS</t>
  </si>
  <si>
    <t>% Stock</t>
  </si>
  <si>
    <t>% Debt</t>
  </si>
  <si>
    <t>% Cash</t>
  </si>
  <si>
    <t>Tax rate</t>
  </si>
  <si>
    <t>Interest on Cash</t>
  </si>
  <si>
    <t>ACQUIRER  (TMPV – TML )</t>
  </si>
  <si>
    <t>TARGET (Sona BLW)</t>
  </si>
  <si>
    <t>FY25 Net Profit (₹ Cr)</t>
  </si>
  <si>
    <t>FY26 EPS</t>
  </si>
  <si>
    <t>Offer price</t>
  </si>
  <si>
    <t>Purchase price</t>
  </si>
  <si>
    <t xml:space="preserve"> Debt (for acquisition financing)</t>
  </si>
  <si>
    <t>Term (years)</t>
  </si>
  <si>
    <t>Interest rate</t>
  </si>
  <si>
    <t>Annual financing fee amortization (₹ Cr)</t>
  </si>
  <si>
    <t>Asset write up (PPA)</t>
  </si>
  <si>
    <t>Book value of target assets (₹ Cr)</t>
  </si>
  <si>
    <t>Fair market value of target assets (₹ Cr)</t>
  </si>
  <si>
    <t>Useful life (years)</t>
  </si>
  <si>
    <t>Asset write-up (₹ Cr)</t>
  </si>
  <si>
    <t>Incremental D&amp;A expense (₹ Cr)</t>
  </si>
  <si>
    <t>Synergies (₹ Cr)</t>
  </si>
  <si>
    <t>Shares issued</t>
  </si>
  <si>
    <t>Sources &amp; Uses</t>
  </si>
  <si>
    <t>Sources</t>
  </si>
  <si>
    <t>Amount</t>
  </si>
  <si>
    <t>%Capital</t>
  </si>
  <si>
    <t>Acquirer stock issued</t>
  </si>
  <si>
    <t>Net Debt</t>
  </si>
  <si>
    <t>Cash(purchase price + Fees)</t>
  </si>
  <si>
    <t>Total</t>
  </si>
  <si>
    <t>Uses</t>
  </si>
  <si>
    <t>Financing Fees</t>
  </si>
  <si>
    <t>Transaction Fees</t>
  </si>
  <si>
    <t>Accretion / Dilution Analysis</t>
  </si>
  <si>
    <t>Standalone net income (₹ Cr)</t>
  </si>
  <si>
    <t>Pre-tax income (₹ Cr)</t>
  </si>
  <si>
    <t>Less: Interest expense from new debt (₹ Cr)</t>
  </si>
  <si>
    <t>Less: Foregone interest on cash (₹ Cr)</t>
  </si>
  <si>
    <t>Less: Incremental D&amp;A expense (₹ Cr)</t>
  </si>
  <si>
    <t>Less: Deal fees (transaction fees) (₹ Cr)</t>
  </si>
  <si>
    <t>Less: Financing fees amortization (₹ Cr)</t>
  </si>
  <si>
    <t>Plus: Synergies (₹ Cr)</t>
  </si>
  <si>
    <t>Pro forma pretax income – adjusted (₹ Cr)</t>
  </si>
  <si>
    <t>Pro forma net income (₹ Cr)</t>
  </si>
  <si>
    <t>Pro Forma EPS (₹)</t>
  </si>
  <si>
    <t>Acquirer standalone EPS (₹)</t>
  </si>
  <si>
    <t>Accretion / (Dilution) per share (₹)</t>
  </si>
  <si>
    <t>Accretion / (Dilution) %</t>
  </si>
  <si>
    <t>Acquirer</t>
  </si>
  <si>
    <t>Target</t>
  </si>
  <si>
    <t>Pro forma</t>
  </si>
  <si>
    <t>% Capital</t>
  </si>
  <si>
    <t>Pro forma pretax income unadjusted (₹ Cr)</t>
  </si>
  <si>
    <t xml:space="preserve">Pro forma diluted shares </t>
  </si>
  <si>
    <t xml:space="preserve">FY25 EPS (₹) </t>
  </si>
  <si>
    <t>Total consolidated NI incl. NCI</t>
  </si>
  <si>
    <t>Shares outstanding (in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</si>
</sst>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sz val="9"/>
      <color rgb="FF000000"/>
      <name val="Bookman Old Style"/>
      <family val="1"/>
    </font>
    <font>
      <sz val="9"/>
      <color theme="4" tint="-0.499984740745262"/>
      <name val="Bookman Old Style"/>
      <family val="1"/>
    </font>
    <font>
      <b/>
      <sz val="9"/>
      <color theme="0"/>
      <name val="Bookman Old Style"/>
      <family val="1"/>
    </font>
    <font>
      <b/>
      <sz val="9"/>
      <color rgb="FF000000"/>
      <name val="Bookman Old Style"/>
      <family val="1"/>
    </font>
    <font>
      <sz val="9"/>
      <color rgb="FF006400"/>
      <name val="Bookman Old Style"/>
      <family val="1"/>
    </font>
    <font>
      <b/>
      <sz val="16"/>
      <color theme="4" tint="-0.499984740745262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9DAF8"/>
        <bgColor rgb="FFD6E4F0"/>
      </patternFill>
    </fill>
    <fill>
      <patternFill patternType="solid">
        <fgColor rgb="FFD6E4F0"/>
        <bgColor rgb="FFC9DAF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0" fontId="1" fillId="0" borderId="0" xfId="0" applyNumberFormat="1" applyFont="1" applyAlignment="1">
      <alignment horizontal="left"/>
    </xf>
    <xf numFmtId="0" fontId="1" fillId="4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4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165" fontId="1" fillId="4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 vertical="center" indent="1"/>
    </xf>
    <xf numFmtId="166" fontId="1" fillId="0" borderId="0" xfId="0" applyNumberFormat="1" applyFont="1"/>
    <xf numFmtId="0" fontId="6" fillId="0" borderId="0" xfId="0" applyFont="1"/>
    <xf numFmtId="166" fontId="3" fillId="0" borderId="0" xfId="0" applyNumberFormat="1" applyFont="1"/>
    <xf numFmtId="4" fontId="1" fillId="0" borderId="0" xfId="0" applyNumberFormat="1" applyFont="1"/>
    <xf numFmtId="4" fontId="6" fillId="6" borderId="0" xfId="0" applyNumberFormat="1" applyFont="1" applyFill="1"/>
    <xf numFmtId="4" fontId="7" fillId="0" borderId="0" xfId="0" applyNumberFormat="1" applyFont="1"/>
    <xf numFmtId="0" fontId="1" fillId="7" borderId="0" xfId="0" applyFont="1" applyFill="1" applyAlignment="1">
      <alignment horizontal="left"/>
    </xf>
    <xf numFmtId="2" fontId="1" fillId="7" borderId="0" xfId="0" applyNumberFormat="1" applyFont="1" applyFill="1" applyAlignment="1">
      <alignment horizontal="left"/>
    </xf>
    <xf numFmtId="0" fontId="1" fillId="0" borderId="2" xfId="0" applyFont="1" applyBorder="1" applyAlignment="1">
      <alignment horizontal="left"/>
    </xf>
    <xf numFmtId="1" fontId="1" fillId="4" borderId="0" xfId="0" applyNumberFormat="1" applyFont="1" applyFill="1" applyAlignment="1">
      <alignment horizontal="left"/>
    </xf>
    <xf numFmtId="3" fontId="1" fillId="0" borderId="0" xfId="0" applyNumberFormat="1" applyFont="1"/>
    <xf numFmtId="0" fontId="2" fillId="4" borderId="0" xfId="0" applyFont="1" applyFill="1" applyAlignment="1">
      <alignment horizontal="left"/>
    </xf>
    <xf numFmtId="165" fontId="1" fillId="7" borderId="0" xfId="0" applyNumberFormat="1" applyFont="1" applyFill="1" applyAlignment="1">
      <alignment horizontal="left"/>
    </xf>
    <xf numFmtId="10" fontId="1" fillId="7" borderId="0" xfId="0" applyNumberFormat="1" applyFont="1" applyFill="1" applyAlignment="1">
      <alignment horizontal="left"/>
    </xf>
    <xf numFmtId="164" fontId="1" fillId="4" borderId="2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2" fontId="1" fillId="4" borderId="3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6" fillId="0" borderId="2" xfId="0" applyFont="1" applyBorder="1"/>
    <xf numFmtId="0" fontId="1" fillId="0" borderId="2" xfId="0" applyFont="1" applyBorder="1"/>
    <xf numFmtId="0" fontId="6" fillId="0" borderId="3" xfId="0" applyFont="1" applyBorder="1"/>
    <xf numFmtId="0" fontId="1" fillId="0" borderId="3" xfId="0" applyFont="1" applyBorder="1"/>
    <xf numFmtId="166" fontId="6" fillId="6" borderId="3" xfId="0" applyNumberFormat="1" applyFont="1" applyFill="1" applyBorder="1"/>
    <xf numFmtId="10" fontId="6" fillId="6" borderId="2" xfId="0" applyNumberFormat="1" applyFont="1" applyFill="1" applyBorder="1"/>
    <xf numFmtId="0" fontId="6" fillId="0" borderId="4" xfId="0" applyFont="1" applyBorder="1"/>
    <xf numFmtId="0" fontId="1" fillId="0" borderId="4" xfId="0" applyFont="1" applyBorder="1"/>
    <xf numFmtId="4" fontId="6" fillId="6" borderId="4" xfId="0" applyNumberFormat="1" applyFont="1" applyFill="1" applyBorder="1"/>
    <xf numFmtId="0" fontId="5" fillId="2" borderId="0" xfId="0" applyFont="1" applyFill="1" applyAlignment="1">
      <alignment horizontal="left"/>
    </xf>
    <xf numFmtId="0" fontId="6" fillId="5" borderId="0" xfId="0" applyFont="1" applyFill="1" applyAlignment="1">
      <alignment horizontal="left" vertical="center" indent="1"/>
    </xf>
    <xf numFmtId="0" fontId="8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460E-E5DE-4F6A-94B4-496BA5696D60}">
  <dimension ref="A1:G56"/>
  <sheetViews>
    <sheetView showGridLines="0" tabSelected="1" topLeftCell="A42" workbookViewId="0">
      <selection activeCell="E13" sqref="E13"/>
    </sheetView>
  </sheetViews>
  <sheetFormatPr defaultRowHeight="11.5" x14ac:dyDescent="0.25"/>
  <cols>
    <col min="1" max="1" width="36.6328125" style="1" bestFit="1" customWidth="1"/>
    <col min="2" max="2" width="11.81640625" style="1" bestFit="1" customWidth="1"/>
    <col min="3" max="3" width="8.1796875" style="1" bestFit="1" customWidth="1"/>
    <col min="4" max="4" width="10.453125" style="1" bestFit="1" customWidth="1"/>
    <col min="5" max="5" width="33.08984375" style="1" bestFit="1" customWidth="1"/>
    <col min="6" max="6" width="11.81640625" style="1" bestFit="1" customWidth="1"/>
    <col min="7" max="7" width="8.1796875" style="1" bestFit="1" customWidth="1"/>
    <col min="8" max="16384" width="8.7265625" style="1"/>
  </cols>
  <sheetData>
    <row r="1" spans="1:6" ht="20.5" thickBot="1" x14ac:dyDescent="0.45">
      <c r="A1" s="46" t="s">
        <v>0</v>
      </c>
      <c r="B1" s="46"/>
      <c r="C1" s="12"/>
    </row>
    <row r="3" spans="1:6" x14ac:dyDescent="0.25">
      <c r="A3" s="44" t="s">
        <v>1</v>
      </c>
      <c r="B3" s="44"/>
    </row>
    <row r="4" spans="1:6" ht="5" customHeight="1" x14ac:dyDescent="0.25"/>
    <row r="5" spans="1:6" x14ac:dyDescent="0.25">
      <c r="A5" s="2" t="s">
        <v>11</v>
      </c>
      <c r="B5" s="3"/>
      <c r="E5" s="2" t="s">
        <v>12</v>
      </c>
      <c r="F5" s="3"/>
    </row>
    <row r="6" spans="1:6" x14ac:dyDescent="0.25">
      <c r="A6" s="1" t="s">
        <v>2</v>
      </c>
      <c r="B6" s="1">
        <f>393.9</f>
        <v>393.9</v>
      </c>
      <c r="E6" s="1" t="s">
        <v>2</v>
      </c>
      <c r="F6" s="1">
        <f>598.75</f>
        <v>598.75</v>
      </c>
    </row>
    <row r="7" spans="1:6" x14ac:dyDescent="0.25">
      <c r="A7" s="11" t="s">
        <v>63</v>
      </c>
      <c r="B7" s="1">
        <f>368.24</f>
        <v>368.24</v>
      </c>
      <c r="E7" s="1" t="s">
        <v>3</v>
      </c>
      <c r="F7" s="1">
        <f>25%</f>
        <v>0.25</v>
      </c>
    </row>
    <row r="8" spans="1:6" x14ac:dyDescent="0.25">
      <c r="A8" s="1" t="s">
        <v>61</v>
      </c>
      <c r="B8" s="1">
        <f>63.2</f>
        <v>63.2</v>
      </c>
      <c r="E8" s="11" t="s">
        <v>63</v>
      </c>
      <c r="F8" s="8">
        <f>62.203</f>
        <v>62.203000000000003</v>
      </c>
    </row>
    <row r="9" spans="1:6" x14ac:dyDescent="0.25">
      <c r="A9" s="11" t="s">
        <v>62</v>
      </c>
      <c r="B9" s="1">
        <v>28100</v>
      </c>
      <c r="E9" s="1" t="s">
        <v>14</v>
      </c>
      <c r="F9" s="1">
        <f>F10/F8</f>
        <v>10.11510698840892</v>
      </c>
    </row>
    <row r="10" spans="1:6" x14ac:dyDescent="0.25">
      <c r="A10" s="30" t="s">
        <v>28</v>
      </c>
      <c r="B10" s="31">
        <f>F12/B6*B15</f>
        <v>39.002714085110441</v>
      </c>
      <c r="E10" s="4" t="s">
        <v>13</v>
      </c>
      <c r="F10" s="1">
        <f>629.19</f>
        <v>629.19000000000005</v>
      </c>
    </row>
    <row r="11" spans="1:6" x14ac:dyDescent="0.25">
      <c r="A11" s="21"/>
      <c r="B11" s="22"/>
      <c r="E11" s="32" t="s">
        <v>15</v>
      </c>
      <c r="F11" s="33">
        <f>F6*(1+F7)</f>
        <v>748.4375</v>
      </c>
    </row>
    <row r="12" spans="1:6" x14ac:dyDescent="0.25">
      <c r="E12" s="23" t="s">
        <v>16</v>
      </c>
      <c r="F12" s="29">
        <f>F11*F8</f>
        <v>46555.057812500003</v>
      </c>
    </row>
    <row r="14" spans="1:6" x14ac:dyDescent="0.25">
      <c r="A14" s="2" t="s">
        <v>4</v>
      </c>
      <c r="B14" s="3"/>
      <c r="E14" s="2" t="s">
        <v>5</v>
      </c>
      <c r="F14" s="3"/>
    </row>
    <row r="15" spans="1:6" x14ac:dyDescent="0.25">
      <c r="A15" s="1" t="s">
        <v>6</v>
      </c>
      <c r="B15" s="1">
        <f>0.33</f>
        <v>0.33</v>
      </c>
      <c r="E15" s="1" t="s">
        <v>9</v>
      </c>
      <c r="F15" s="1">
        <f>25%</f>
        <v>0.25</v>
      </c>
    </row>
    <row r="16" spans="1:6" x14ac:dyDescent="0.25">
      <c r="A16" s="1" t="s">
        <v>7</v>
      </c>
      <c r="B16" s="1">
        <f>0.33</f>
        <v>0.33</v>
      </c>
      <c r="E16" s="1" t="s">
        <v>27</v>
      </c>
      <c r="F16" s="1">
        <f>150</f>
        <v>150</v>
      </c>
    </row>
    <row r="17" spans="1:7" x14ac:dyDescent="0.25">
      <c r="A17" s="1" t="s">
        <v>8</v>
      </c>
      <c r="B17" s="1">
        <f>1-SUM(B15:B16)</f>
        <v>0.33999999999999997</v>
      </c>
      <c r="E17" s="1" t="s">
        <v>10</v>
      </c>
      <c r="F17" s="1">
        <f>6.5%</f>
        <v>6.5000000000000002E-2</v>
      </c>
    </row>
    <row r="19" spans="1:7" x14ac:dyDescent="0.25">
      <c r="A19" s="2" t="s">
        <v>17</v>
      </c>
      <c r="B19" s="2"/>
      <c r="E19" s="2" t="s">
        <v>21</v>
      </c>
      <c r="F19" s="2"/>
    </row>
    <row r="20" spans="1:7" x14ac:dyDescent="0.25">
      <c r="A20" s="5" t="s">
        <v>18</v>
      </c>
      <c r="B20" s="1">
        <v>5</v>
      </c>
      <c r="E20" s="5" t="s">
        <v>22</v>
      </c>
      <c r="F20" s="1">
        <f>6154</f>
        <v>6154</v>
      </c>
    </row>
    <row r="21" spans="1:7" x14ac:dyDescent="0.25">
      <c r="A21" s="5" t="s">
        <v>19</v>
      </c>
      <c r="B21" s="6">
        <v>8.5000000000000006E-2</v>
      </c>
      <c r="E21" s="5" t="s">
        <v>23</v>
      </c>
      <c r="F21" s="1">
        <f>9000</f>
        <v>9000</v>
      </c>
    </row>
    <row r="22" spans="1:7" x14ac:dyDescent="0.25">
      <c r="A22" s="5" t="s">
        <v>20</v>
      </c>
      <c r="B22" s="7">
        <f>F31/B20</f>
        <v>40</v>
      </c>
      <c r="E22" s="5" t="s">
        <v>24</v>
      </c>
      <c r="F22" s="1">
        <f>15</f>
        <v>15</v>
      </c>
    </row>
    <row r="23" spans="1:7" x14ac:dyDescent="0.25">
      <c r="E23" s="5" t="s">
        <v>25</v>
      </c>
      <c r="F23" s="7">
        <f>F21-F20</f>
        <v>2846</v>
      </c>
    </row>
    <row r="24" spans="1:7" x14ac:dyDescent="0.25">
      <c r="E24" s="5" t="s">
        <v>26</v>
      </c>
      <c r="F24" s="24">
        <f>F23/F22</f>
        <v>189.73333333333332</v>
      </c>
    </row>
    <row r="26" spans="1:7" x14ac:dyDescent="0.25">
      <c r="A26" s="44" t="s">
        <v>29</v>
      </c>
      <c r="B26" s="44"/>
      <c r="C26" s="44"/>
    </row>
    <row r="28" spans="1:7" x14ac:dyDescent="0.25">
      <c r="A28" s="47" t="s">
        <v>30</v>
      </c>
      <c r="B28" s="47"/>
      <c r="C28" s="47"/>
      <c r="E28" s="2" t="s">
        <v>37</v>
      </c>
      <c r="F28" s="2"/>
      <c r="G28" s="2"/>
    </row>
    <row r="29" spans="1:7" x14ac:dyDescent="0.25">
      <c r="B29" s="34" t="s">
        <v>31</v>
      </c>
      <c r="C29" s="2" t="s">
        <v>58</v>
      </c>
      <c r="F29" s="34" t="s">
        <v>31</v>
      </c>
      <c r="G29" s="2" t="s">
        <v>32</v>
      </c>
    </row>
    <row r="30" spans="1:7" x14ac:dyDescent="0.25">
      <c r="A30" s="1" t="s">
        <v>33</v>
      </c>
      <c r="B30" s="21">
        <f>B15*F12</f>
        <v>15363.169078125002</v>
      </c>
      <c r="C30" s="27">
        <f>B30/B33</f>
        <v>0.32788710110237901</v>
      </c>
      <c r="E30" s="1" t="s">
        <v>16</v>
      </c>
      <c r="F30" s="21">
        <f>F12</f>
        <v>46555.057812500003</v>
      </c>
      <c r="G30" s="28">
        <f>F30/F33</f>
        <v>0.99359727606781512</v>
      </c>
    </row>
    <row r="31" spans="1:7" x14ac:dyDescent="0.25">
      <c r="A31" s="1" t="s">
        <v>34</v>
      </c>
      <c r="B31" s="21">
        <f>B16*F12</f>
        <v>15363.169078125002</v>
      </c>
      <c r="C31" s="27">
        <f>B31/B33</f>
        <v>0.32788710110237901</v>
      </c>
      <c r="E31" s="1" t="s">
        <v>38</v>
      </c>
      <c r="F31" s="21">
        <f>200</f>
        <v>200</v>
      </c>
      <c r="G31" s="28">
        <f>F31/F33</f>
        <v>4.2684826214565881E-3</v>
      </c>
    </row>
    <row r="32" spans="1:7" x14ac:dyDescent="0.25">
      <c r="A32" s="1" t="s">
        <v>35</v>
      </c>
      <c r="B32" s="21">
        <f>(B17*F12)+F31+F32</f>
        <v>16128.719656249999</v>
      </c>
      <c r="C32" s="27">
        <f>B32/B33</f>
        <v>0.34422579779524198</v>
      </c>
      <c r="E32" s="1" t="s">
        <v>39</v>
      </c>
      <c r="F32" s="21">
        <f>100</f>
        <v>100</v>
      </c>
      <c r="G32" s="28">
        <f>F32/F33</f>
        <v>2.1342413107282941E-3</v>
      </c>
    </row>
    <row r="33" spans="1:7" x14ac:dyDescent="0.25">
      <c r="A33" s="26" t="s">
        <v>36</v>
      </c>
      <c r="B33" s="10">
        <f>B30+B31+B32</f>
        <v>46855.057812500003</v>
      </c>
      <c r="C33" s="13">
        <f>B33/B33</f>
        <v>1</v>
      </c>
      <c r="E33" s="26" t="s">
        <v>36</v>
      </c>
      <c r="F33" s="10">
        <f>SUM(F30:F32)</f>
        <v>46855.057812500003</v>
      </c>
      <c r="G33" s="9">
        <f>F33/F33</f>
        <v>1</v>
      </c>
    </row>
    <row r="36" spans="1:7" x14ac:dyDescent="0.25">
      <c r="A36" s="45" t="s">
        <v>40</v>
      </c>
      <c r="B36" s="45"/>
      <c r="C36" s="45"/>
      <c r="D36" s="45"/>
    </row>
    <row r="37" spans="1:7" x14ac:dyDescent="0.25">
      <c r="A37" s="14"/>
      <c r="B37" s="14" t="s">
        <v>55</v>
      </c>
      <c r="C37" s="14" t="s">
        <v>56</v>
      </c>
      <c r="D37" s="14" t="s">
        <v>57</v>
      </c>
    </row>
    <row r="38" spans="1:7" x14ac:dyDescent="0.25">
      <c r="A38" s="5" t="s">
        <v>41</v>
      </c>
      <c r="B38" s="15">
        <f>B7*B8</f>
        <v>23272.768</v>
      </c>
      <c r="C38" s="15">
        <f>F9*F8</f>
        <v>629.19000000000005</v>
      </c>
      <c r="D38" s="15">
        <f>B38+C38</f>
        <v>23901.957999999999</v>
      </c>
    </row>
    <row r="39" spans="1:7" x14ac:dyDescent="0.25">
      <c r="A39" s="5" t="s">
        <v>42</v>
      </c>
      <c r="B39" s="15">
        <f>B38/(1-F15)</f>
        <v>31030.357333333333</v>
      </c>
      <c r="C39" s="15">
        <f>C38/(1-F15)</f>
        <v>838.92000000000007</v>
      </c>
      <c r="D39" s="15">
        <f>B39+C39</f>
        <v>31869.277333333332</v>
      </c>
    </row>
    <row r="40" spans="1:7" x14ac:dyDescent="0.25">
      <c r="A40" s="11"/>
      <c r="B40" s="11"/>
      <c r="C40" s="11"/>
      <c r="D40" s="11"/>
    </row>
    <row r="41" spans="1:7" x14ac:dyDescent="0.25">
      <c r="A41" s="5" t="s">
        <v>59</v>
      </c>
      <c r="B41" s="11"/>
      <c r="C41" s="11"/>
      <c r="D41" s="15">
        <f>D39</f>
        <v>31869.277333333332</v>
      </c>
    </row>
    <row r="42" spans="1:7" x14ac:dyDescent="0.25">
      <c r="A42" s="5" t="s">
        <v>43</v>
      </c>
      <c r="B42" s="11"/>
      <c r="C42" s="11"/>
      <c r="D42" s="15">
        <f>B31*B21</f>
        <v>1305.8693716406253</v>
      </c>
    </row>
    <row r="43" spans="1:7" x14ac:dyDescent="0.25">
      <c r="A43" s="5" t="s">
        <v>44</v>
      </c>
      <c r="B43" s="11"/>
      <c r="C43" s="11"/>
      <c r="D43" s="15">
        <f>B32*F17</f>
        <v>1048.36677765625</v>
      </c>
    </row>
    <row r="44" spans="1:7" x14ac:dyDescent="0.25">
      <c r="A44" s="5" t="s">
        <v>45</v>
      </c>
      <c r="B44" s="11"/>
      <c r="C44" s="11"/>
      <c r="D44" s="25">
        <f>F24</f>
        <v>189.73333333333332</v>
      </c>
    </row>
    <row r="45" spans="1:7" x14ac:dyDescent="0.25">
      <c r="A45" s="5" t="s">
        <v>46</v>
      </c>
      <c r="B45" s="11"/>
      <c r="C45" s="11"/>
      <c r="D45" s="15">
        <f>F32</f>
        <v>100</v>
      </c>
    </row>
    <row r="46" spans="1:7" x14ac:dyDescent="0.25">
      <c r="A46" s="5" t="s">
        <v>47</v>
      </c>
      <c r="B46" s="11"/>
      <c r="C46" s="11"/>
      <c r="D46" s="15">
        <f>B22</f>
        <v>40</v>
      </c>
    </row>
    <row r="47" spans="1:7" x14ac:dyDescent="0.25">
      <c r="A47" s="5" t="s">
        <v>48</v>
      </c>
      <c r="B47" s="11"/>
      <c r="C47" s="11"/>
      <c r="D47" s="15">
        <f>F16</f>
        <v>150</v>
      </c>
    </row>
    <row r="48" spans="1:7" x14ac:dyDescent="0.25">
      <c r="A48" s="37" t="s">
        <v>49</v>
      </c>
      <c r="B48" s="38"/>
      <c r="C48" s="38"/>
      <c r="D48" s="39">
        <f>D39-SUM(D42:D46)+D47</f>
        <v>29335.307850703124</v>
      </c>
    </row>
    <row r="49" spans="1:4" x14ac:dyDescent="0.25">
      <c r="A49" s="11"/>
      <c r="B49" s="11"/>
      <c r="C49" s="11"/>
      <c r="D49" s="11"/>
    </row>
    <row r="50" spans="1:4" x14ac:dyDescent="0.25">
      <c r="A50" s="5" t="s">
        <v>50</v>
      </c>
      <c r="B50" s="11"/>
      <c r="C50" s="11"/>
      <c r="D50" s="15">
        <f>D48*(1-F15)</f>
        <v>22001.480888027341</v>
      </c>
    </row>
    <row r="51" spans="1:4" x14ac:dyDescent="0.25">
      <c r="A51" s="5" t="s">
        <v>60</v>
      </c>
      <c r="B51" s="11"/>
      <c r="C51" s="11"/>
      <c r="D51" s="17">
        <f>B7+B10</f>
        <v>407.24271408511044</v>
      </c>
    </row>
    <row r="52" spans="1:4" x14ac:dyDescent="0.25">
      <c r="A52" s="11"/>
      <c r="B52" s="11"/>
      <c r="C52" s="11"/>
      <c r="D52" s="11"/>
    </row>
    <row r="53" spans="1:4" x14ac:dyDescent="0.25">
      <c r="A53" s="16" t="s">
        <v>51</v>
      </c>
      <c r="B53" s="18"/>
      <c r="C53" s="18"/>
      <c r="D53" s="19">
        <f>D50/D51</f>
        <v>54.025474556259859</v>
      </c>
    </row>
    <row r="54" spans="1:4" x14ac:dyDescent="0.25">
      <c r="A54" s="5" t="s">
        <v>52</v>
      </c>
      <c r="B54" s="18"/>
      <c r="C54" s="11"/>
      <c r="D54" s="20">
        <f>B8</f>
        <v>63.2</v>
      </c>
    </row>
    <row r="55" spans="1:4" x14ac:dyDescent="0.25">
      <c r="A55" s="41" t="s">
        <v>53</v>
      </c>
      <c r="B55" s="42"/>
      <c r="C55" s="42"/>
      <c r="D55" s="43">
        <f>D53-D54</f>
        <v>-9.1745254437401442</v>
      </c>
    </row>
    <row r="56" spans="1:4" x14ac:dyDescent="0.25">
      <c r="A56" s="35" t="s">
        <v>54</v>
      </c>
      <c r="B56" s="36"/>
      <c r="C56" s="36"/>
      <c r="D56" s="40">
        <f>(D53/D54)-1</f>
        <v>-0.14516654183133137</v>
      </c>
    </row>
  </sheetData>
  <mergeCells count="5">
    <mergeCell ref="A26:C26"/>
    <mergeCell ref="A36:D36"/>
    <mergeCell ref="A1:B1"/>
    <mergeCell ref="A3:B3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A-D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   JAIN</dc:creator>
  <cp:lastModifiedBy>PRATHA   JAIN</cp:lastModifiedBy>
  <dcterms:created xsi:type="dcterms:W3CDTF">2026-06-01T05:19:04Z</dcterms:created>
  <dcterms:modified xsi:type="dcterms:W3CDTF">2026-06-01T13:16:49Z</dcterms:modified>
</cp:coreProperties>
</file>